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From bench/noisy.mjs (60 hands per sign) and bench/train.mjs (6 simulated people, Teach mode). Run 28 Oct 2026.</t>
        </r>
      </text>
    </comment>
  </commentList>
</comments>
</file>

<file path=xl/sharedStrings.xml><?xml version="1.0" encoding="utf-8"?>
<sst xmlns="http://schemas.openxmlformats.org/spreadsheetml/2006/main" count="151" uniqueCount="86">
  <si>
    <t xml:space="preserve">dotacs: recognition accuracy per sign, first version vs current version</t>
  </si>
  <si>
    <t xml:space="preserve">Source: our own automated test (bench/noisy.mjs) on simulated hands: 60 random hands per sign (different sizes, angles, left/right hands, joint noise), 28 frames each. Accuracy = share of frames where the shown sign was correct. Measured 28 Oct 2026.</t>
  </si>
  <si>
    <t xml:space="preserve">Sign</t>
  </si>
  <si>
    <t xml:space="preserve">Type</t>
  </si>
  <si>
    <t xml:space="preserve">First version</t>
  </si>
  <si>
    <t xml:space="preserve">Current version</t>
  </si>
  <si>
    <t xml:space="preserve">Change</t>
  </si>
  <si>
    <t xml:space="preserve">RecognitionLogs (sample rows from database/dotacs.sql)</t>
  </si>
  <si>
    <t xml:space="preserve">1</t>
  </si>
  <si>
    <t xml:space="preserve">number</t>
  </si>
  <si>
    <t xml:space="preserve">User</t>
  </si>
  <si>
    <t xml:space="preserve">Method</t>
  </si>
  <si>
    <t xml:space="preserve">Confidence</t>
  </si>
  <si>
    <t xml:space="preserve">3</t>
  </si>
  <si>
    <t xml:space="preserve">maria</t>
  </si>
  <si>
    <t xml:space="preserve">Hello</t>
  </si>
  <si>
    <t xml:space="preserve">motion</t>
  </si>
  <si>
    <t xml:space="preserve">4</t>
  </si>
  <si>
    <t xml:space="preserve">Friend</t>
  </si>
  <si>
    <t xml:space="preserve">pair</t>
  </si>
  <si>
    <t xml:space="preserve">5</t>
  </si>
  <si>
    <t xml:space="preserve">alex</t>
  </si>
  <si>
    <t xml:space="preserve">Water</t>
  </si>
  <si>
    <t xml:space="preserve">7</t>
  </si>
  <si>
    <t xml:space="preserve">Please</t>
  </si>
  <si>
    <t xml:space="preserve">8</t>
  </si>
  <si>
    <t xml:space="preserve">demo</t>
  </si>
  <si>
    <t xml:space="preserve">A</t>
  </si>
  <si>
    <t xml:space="preserve">letter</t>
  </si>
  <si>
    <t xml:space="preserve">I love you</t>
  </si>
  <si>
    <t xml:space="preserve">hold</t>
  </si>
  <si>
    <t xml:space="preserve">S</t>
  </si>
  <si>
    <t xml:space="preserve">C</t>
  </si>
  <si>
    <t xml:space="preserve">B</t>
  </si>
  <si>
    <t xml:space="preserve">D</t>
  </si>
  <si>
    <t xml:space="preserve">L</t>
  </si>
  <si>
    <t xml:space="preserve">lina</t>
  </si>
  <si>
    <t xml:space="preserve">Eat</t>
  </si>
  <si>
    <t xml:space="preserve">G</t>
  </si>
  <si>
    <t xml:space="preserve">More</t>
  </si>
  <si>
    <t xml:space="preserve">U</t>
  </si>
  <si>
    <t xml:space="preserve">nadia</t>
  </si>
  <si>
    <t xml:space="preserve">Sorry</t>
  </si>
  <si>
    <t xml:space="preserve">V</t>
  </si>
  <si>
    <t xml:space="preserve">Bye</t>
  </si>
  <si>
    <t xml:space="preserve">H</t>
  </si>
  <si>
    <t xml:space="preserve">sara</t>
  </si>
  <si>
    <t xml:space="preserve">Good</t>
  </si>
  <si>
    <t xml:space="preserve">K</t>
  </si>
  <si>
    <t xml:space="preserve">Y</t>
  </si>
  <si>
    <t xml:space="preserve">W</t>
  </si>
  <si>
    <t xml:space="preserve">O</t>
  </si>
  <si>
    <t xml:space="preserve">F</t>
  </si>
  <si>
    <t xml:space="preserve">I</t>
  </si>
  <si>
    <t xml:space="preserve">yuki</t>
  </si>
  <si>
    <t xml:space="preserve">Help</t>
  </si>
  <si>
    <t xml:space="preserve">word</t>
  </si>
  <si>
    <t xml:space="preserve">Sample data written by the team to show the table; replace with real logs (SELECT * FROM RecognitionLogs) after user tests.</t>
  </si>
  <si>
    <t xml:space="preserve">Rock on</t>
  </si>
  <si>
    <t xml:space="preserve">X</t>
  </si>
  <si>
    <t xml:space="preserve">Bad</t>
  </si>
  <si>
    <t xml:space="preserve">dotacs: analysis of recognition data</t>
  </si>
  <si>
    <t xml:space="preserve">1. Accuracy per sign (from sheet Data)</t>
  </si>
  <si>
    <t xml:space="preserve">Signs tested</t>
  </si>
  <si>
    <t xml:space="preserve">Average accuracy, first version</t>
  </si>
  <si>
    <t xml:space="preserve">Average accuracy, current version</t>
  </si>
  <si>
    <t xml:space="preserve">Average change</t>
  </si>
  <si>
    <t xml:space="preserve">Signs that improved</t>
  </si>
  <si>
    <t xml:space="preserve">Signs that got worse</t>
  </si>
  <si>
    <t xml:space="preserve">Signs at 95% or more, first version</t>
  </si>
  <si>
    <t xml:space="preserve">Signs at 95% or more, current version</t>
  </si>
  <si>
    <t xml:space="preserve">Biggest improvement</t>
  </si>
  <si>
    <t xml:space="preserve">...for the sign</t>
  </si>
  <si>
    <t xml:space="preserve">Weakest sign now</t>
  </si>
  <si>
    <t xml:space="preserve">...its accuracy</t>
  </si>
  <si>
    <t xml:space="preserve">2. Whole test, all frames weighted equally</t>
  </si>
  <si>
    <t xml:space="preserve">Current version after Teach mode</t>
  </si>
  <si>
    <t xml:space="preserve">Teach mode result is from a separate test (bench/train.mjs): 6 simulated people with their own hand habits, 12 tests per sign.</t>
  </si>
  <si>
    <t xml:space="preserve">3. RecognitionLogs: average confidence by method (sample rows)</t>
  </si>
  <si>
    <t xml:space="preserve">avg confidence</t>
  </si>
  <si>
    <t xml:space="preserve">signs</t>
  </si>
  <si>
    <t xml:space="preserve">4. What the data shows</t>
  </si>
  <si>
    <t xml:space="preserve">1. K and X went from 0% to 100% and 99.5%: the first version could never recognise them; new hand features fixed this.</t>
  </si>
  <si>
    <t xml:space="preserve">2. U, H, W and B improved by 37 to 58 points: they were confused with V and 4 before.</t>
  </si>
  <si>
    <t xml:space="preserve">3. 4, L, V and A got slightly worse (up to 10 points): fixing their neighbours made these harder to tell apart. Teach mode fixes it per person.</t>
  </si>
  <si>
    <t xml:space="preserve">4. Next step: run the same analysis on real RecognitionLogs from user tests to find the signs real users struggle with.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</si>
</sst>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\+0.0%;\-0.0%;0.0%"/>
    <numFmt numFmtId="167" formatCode="0.00"/>
    <numFmt numFmtId="168" formatCode="0"/>
    <numFmt numFmtId="169" formatCode="\+0.0%;\-0.0%"/>
    <numFmt numFmtId="170" formatCode="\+0.0%"/>
    <numFmt numFmtId="171" formatCode="@"/>
    <numFmt numFmtId="172" formatCode="General"/>
    <numFmt numFmtId="173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3151F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9"/>
      </left>
      <right style="thin">
        <color rgb="FFC9CED9"/>
      </right>
      <top style="thin">
        <color rgb="FFC9CED9"/>
      </top>
      <bottom style="thin">
        <color rgb="FFC9C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C9C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13151F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Accuracy per sign: first vs current 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Data!C4</c:f>
              <c:strCache>
                <c:ptCount val="1"/>
                <c:pt idx="0">
                  <c:v>First version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Data!$A$5:$A$31</c:f>
              <c:strCache>
                <c:ptCount val="2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A</c:v>
                </c:pt>
                <c:pt idx="7">
                  <c:v>S</c:v>
                </c:pt>
                <c:pt idx="8">
                  <c:v>B</c:v>
                </c:pt>
                <c:pt idx="9">
                  <c:v>D</c:v>
                </c:pt>
                <c:pt idx="10">
                  <c:v>L</c:v>
                </c:pt>
                <c:pt idx="11">
                  <c:v>G</c:v>
                </c:pt>
                <c:pt idx="12">
                  <c:v>U</c:v>
                </c:pt>
                <c:pt idx="13">
                  <c:v>V</c:v>
                </c:pt>
                <c:pt idx="14">
                  <c:v>H</c:v>
                </c:pt>
                <c:pt idx="15">
                  <c:v>K</c:v>
                </c:pt>
                <c:pt idx="16">
                  <c:v>W</c:v>
                </c:pt>
                <c:pt idx="17">
                  <c:v>F</c:v>
                </c:pt>
                <c:pt idx="18">
                  <c:v>I</c:v>
                </c:pt>
                <c:pt idx="19">
                  <c:v>Y</c:v>
                </c:pt>
                <c:pt idx="20">
                  <c:v>I love you</c:v>
                </c:pt>
                <c:pt idx="21">
                  <c:v>Rock on</c:v>
                </c:pt>
                <c:pt idx="22">
                  <c:v>O</c:v>
                </c:pt>
                <c:pt idx="23">
                  <c:v>C</c:v>
                </c:pt>
                <c:pt idx="24">
                  <c:v>X</c:v>
                </c:pt>
                <c:pt idx="25">
                  <c:v>Good</c:v>
                </c:pt>
                <c:pt idx="26">
                  <c:v>Bad</c:v>
                </c:pt>
              </c:strCache>
            </c:strRef>
          </c:cat>
          <c:val>
            <c:numRef>
              <c:f>Data!$C$5:$C$31</c:f>
              <c:numCache>
                <c:formatCode>0.0%</c:formatCode>
                <c:ptCount val="27"/>
                <c:pt idx="0">
                  <c:v>0.799</c:v>
                </c:pt>
                <c:pt idx="1">
                  <c:v>1</c:v>
                </c:pt>
                <c:pt idx="2">
                  <c:v>0.906</c:v>
                </c:pt>
                <c:pt idx="3">
                  <c:v>0.997</c:v>
                </c:pt>
                <c:pt idx="4">
                  <c:v>1</c:v>
                </c:pt>
                <c:pt idx="5">
                  <c:v>1</c:v>
                </c:pt>
                <c:pt idx="6">
                  <c:v>0.867</c:v>
                </c:pt>
                <c:pt idx="7">
                  <c:v>0.99</c:v>
                </c:pt>
                <c:pt idx="8">
                  <c:v>0.411</c:v>
                </c:pt>
                <c:pt idx="9">
                  <c:v>0.989</c:v>
                </c:pt>
                <c:pt idx="10">
                  <c:v>0.948</c:v>
                </c:pt>
                <c:pt idx="11">
                  <c:v>0.933</c:v>
                </c:pt>
                <c:pt idx="12">
                  <c:v>0.392</c:v>
                </c:pt>
                <c:pt idx="13">
                  <c:v>0.964</c:v>
                </c:pt>
                <c:pt idx="14">
                  <c:v>0.477</c:v>
                </c:pt>
                <c:pt idx="15">
                  <c:v>0</c:v>
                </c:pt>
                <c:pt idx="16">
                  <c:v>0.424</c:v>
                </c:pt>
                <c:pt idx="17">
                  <c:v>1</c:v>
                </c:pt>
                <c:pt idx="18">
                  <c:v>0.983</c:v>
                </c:pt>
                <c:pt idx="19">
                  <c:v>0.926</c:v>
                </c:pt>
                <c:pt idx="20">
                  <c:v>0.999</c:v>
                </c:pt>
                <c:pt idx="21">
                  <c:v>0.951</c:v>
                </c:pt>
                <c:pt idx="22">
                  <c:v>0.88</c:v>
                </c:pt>
                <c:pt idx="23">
                  <c:v>0.798</c:v>
                </c:pt>
                <c:pt idx="24">
                  <c:v>0</c:v>
                </c:pt>
                <c:pt idx="25">
                  <c:v>0.791</c:v>
                </c:pt>
                <c:pt idx="26">
                  <c:v>0.852</c:v>
                </c:pt>
              </c:numCache>
            </c:numRef>
          </c:val>
        </c:ser>
        <c:ser>
          <c:idx val="1"/>
          <c:order val="1"/>
          <c:tx>
            <c:strRef>
              <c:f>Data!D4</c:f>
              <c:strCache>
                <c:ptCount val="1"/>
                <c:pt idx="0">
                  <c:v>Current version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Data!$A$5:$A$31</c:f>
              <c:strCache>
                <c:ptCount val="27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A</c:v>
                </c:pt>
                <c:pt idx="7">
                  <c:v>S</c:v>
                </c:pt>
                <c:pt idx="8">
                  <c:v>B</c:v>
                </c:pt>
                <c:pt idx="9">
                  <c:v>D</c:v>
                </c:pt>
                <c:pt idx="10">
                  <c:v>L</c:v>
                </c:pt>
                <c:pt idx="11">
                  <c:v>G</c:v>
                </c:pt>
                <c:pt idx="12">
                  <c:v>U</c:v>
                </c:pt>
                <c:pt idx="13">
                  <c:v>V</c:v>
                </c:pt>
                <c:pt idx="14">
                  <c:v>H</c:v>
                </c:pt>
                <c:pt idx="15">
                  <c:v>K</c:v>
                </c:pt>
                <c:pt idx="16">
                  <c:v>W</c:v>
                </c:pt>
                <c:pt idx="17">
                  <c:v>F</c:v>
                </c:pt>
                <c:pt idx="18">
                  <c:v>I</c:v>
                </c:pt>
                <c:pt idx="19">
                  <c:v>Y</c:v>
                </c:pt>
                <c:pt idx="20">
                  <c:v>I love you</c:v>
                </c:pt>
                <c:pt idx="21">
                  <c:v>Rock on</c:v>
                </c:pt>
                <c:pt idx="22">
                  <c:v>O</c:v>
                </c:pt>
                <c:pt idx="23">
                  <c:v>C</c:v>
                </c:pt>
                <c:pt idx="24">
                  <c:v>X</c:v>
                </c:pt>
                <c:pt idx="25">
                  <c:v>Good</c:v>
                </c:pt>
                <c:pt idx="26">
                  <c:v>Bad</c:v>
                </c:pt>
              </c:strCache>
            </c:strRef>
          </c:cat>
          <c:val>
            <c:numRef>
              <c:f>Data!$D$5:$D$31</c:f>
              <c:numCache>
                <c:formatCode>0.0%</c:formatCode>
                <c:ptCount val="27"/>
                <c:pt idx="0">
                  <c:v>0.852</c:v>
                </c:pt>
                <c:pt idx="1">
                  <c:v>1</c:v>
                </c:pt>
                <c:pt idx="2">
                  <c:v>0.803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0.839</c:v>
                </c:pt>
                <c:pt idx="7">
                  <c:v>0.996</c:v>
                </c:pt>
                <c:pt idx="8">
                  <c:v>0.792</c:v>
                </c:pt>
                <c:pt idx="9">
                  <c:v>0.996</c:v>
                </c:pt>
                <c:pt idx="10">
                  <c:v>0.89</c:v>
                </c:pt>
                <c:pt idx="11">
                  <c:v>0.947</c:v>
                </c:pt>
                <c:pt idx="12">
                  <c:v>0.798</c:v>
                </c:pt>
                <c:pt idx="13">
                  <c:v>0.923</c:v>
                </c:pt>
                <c:pt idx="14">
                  <c:v>0.845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0.983</c:v>
                </c:pt>
                <c:pt idx="19">
                  <c:v>0.956</c:v>
                </c:pt>
                <c:pt idx="20">
                  <c:v>1</c:v>
                </c:pt>
                <c:pt idx="21">
                  <c:v>0.952</c:v>
                </c:pt>
                <c:pt idx="22">
                  <c:v>0.892</c:v>
                </c:pt>
                <c:pt idx="23">
                  <c:v>0.864</c:v>
                </c:pt>
                <c:pt idx="24">
                  <c:v>0.995</c:v>
                </c:pt>
                <c:pt idx="25">
                  <c:v>0.867</c:v>
                </c:pt>
                <c:pt idx="26">
                  <c:v>0.899</c:v>
                </c:pt>
              </c:numCache>
            </c:numRef>
          </c:val>
        </c:ser>
        <c:gapWidth val="150"/>
        <c:overlap val="0"/>
        <c:axId val="45615165"/>
        <c:axId val="10329106"/>
      </c:barChart>
      <c:catAx>
        <c:axId val="45615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29106"/>
        <c:crosses val="autoZero"/>
        <c:auto val="1"/>
        <c:lblAlgn val="ctr"/>
        <c:lblOffset val="100"/>
        <c:noMultiLvlLbl val="0"/>
      </c:catAx>
      <c:valAx>
        <c:axId val="1032910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Correct frames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15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21</xdr:col>
      <xdr:colOff>403920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263560" y="38088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7" min="6" style="0" width="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H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6" t="n">
        <v>0.799</v>
      </c>
      <c r="D5" s="6" t="n">
        <v>0.852</v>
      </c>
      <c r="E5" s="7" t="n">
        <f aca="false">D5-C5</f>
        <v>0.0529999999999999</v>
      </c>
      <c r="H5" s="8" t="s">
        <v>10</v>
      </c>
      <c r="I5" s="8" t="s">
        <v>2</v>
      </c>
      <c r="J5" s="8" t="s">
        <v>11</v>
      </c>
      <c r="K5" s="8" t="s">
        <v>12</v>
      </c>
    </row>
    <row r="6" customFormat="false" ht="15" hidden="false" customHeight="false" outlineLevel="0" collapsed="false">
      <c r="A6" s="5" t="s">
        <v>13</v>
      </c>
      <c r="B6" s="5" t="s">
        <v>9</v>
      </c>
      <c r="C6" s="6" t="n">
        <v>1</v>
      </c>
      <c r="D6" s="6" t="n">
        <v>1</v>
      </c>
      <c r="E6" s="7" t="n">
        <f aca="false">D6-C6</f>
        <v>0</v>
      </c>
      <c r="H6" s="5" t="s">
        <v>14</v>
      </c>
      <c r="I6" s="5" t="s">
        <v>15</v>
      </c>
      <c r="J6" s="5" t="s">
        <v>16</v>
      </c>
      <c r="K6" s="9" t="n">
        <v>0.94</v>
      </c>
    </row>
    <row r="7" customFormat="false" ht="15" hidden="false" customHeight="false" outlineLevel="0" collapsed="false">
      <c r="A7" s="5" t="s">
        <v>17</v>
      </c>
      <c r="B7" s="5" t="s">
        <v>9</v>
      </c>
      <c r="C7" s="6" t="n">
        <v>0.906</v>
      </c>
      <c r="D7" s="6" t="n">
        <v>0.803</v>
      </c>
      <c r="E7" s="7" t="n">
        <f aca="false">D7-C7</f>
        <v>-0.103</v>
      </c>
      <c r="H7" s="5" t="s">
        <v>14</v>
      </c>
      <c r="I7" s="5" t="s">
        <v>18</v>
      </c>
      <c r="J7" s="5" t="s">
        <v>19</v>
      </c>
      <c r="K7" s="9" t="n">
        <v>0.88</v>
      </c>
    </row>
    <row r="8" customFormat="false" ht="15" hidden="false" customHeight="false" outlineLevel="0" collapsed="false">
      <c r="A8" s="5" t="s">
        <v>20</v>
      </c>
      <c r="B8" s="5" t="s">
        <v>9</v>
      </c>
      <c r="C8" s="6" t="n">
        <v>0.997</v>
      </c>
      <c r="D8" s="6" t="n">
        <v>1</v>
      </c>
      <c r="E8" s="7" t="n">
        <f aca="false">D8-C8</f>
        <v>0.003</v>
      </c>
      <c r="H8" s="5" t="s">
        <v>21</v>
      </c>
      <c r="I8" s="5" t="s">
        <v>22</v>
      </c>
      <c r="J8" s="5" t="s">
        <v>16</v>
      </c>
      <c r="K8" s="9" t="n">
        <v>0.91</v>
      </c>
    </row>
    <row r="9" customFormat="false" ht="15" hidden="false" customHeight="false" outlineLevel="0" collapsed="false">
      <c r="A9" s="5" t="s">
        <v>23</v>
      </c>
      <c r="B9" s="5" t="s">
        <v>9</v>
      </c>
      <c r="C9" s="6" t="n">
        <v>1</v>
      </c>
      <c r="D9" s="6" t="n">
        <v>1</v>
      </c>
      <c r="E9" s="7" t="n">
        <f aca="false">D9-C9</f>
        <v>0</v>
      </c>
      <c r="H9" s="5" t="s">
        <v>21</v>
      </c>
      <c r="I9" s="5" t="s">
        <v>24</v>
      </c>
      <c r="J9" s="5" t="s">
        <v>16</v>
      </c>
      <c r="K9" s="9" t="n">
        <v>0.86</v>
      </c>
    </row>
    <row r="10" customFormat="false" ht="15" hidden="false" customHeight="false" outlineLevel="0" collapsed="false">
      <c r="A10" s="5" t="s">
        <v>25</v>
      </c>
      <c r="B10" s="5" t="s">
        <v>9</v>
      </c>
      <c r="C10" s="6" t="n">
        <v>1</v>
      </c>
      <c r="D10" s="6" t="n">
        <v>1</v>
      </c>
      <c r="E10" s="7" t="n">
        <f aca="false">D10-C10</f>
        <v>0</v>
      </c>
      <c r="H10" s="5" t="s">
        <v>26</v>
      </c>
      <c r="I10" s="5" t="s">
        <v>15</v>
      </c>
      <c r="J10" s="5" t="s">
        <v>16</v>
      </c>
      <c r="K10" s="9" t="n">
        <v>0.97</v>
      </c>
    </row>
    <row r="11" customFormat="false" ht="15" hidden="false" customHeight="false" outlineLevel="0" collapsed="false">
      <c r="A11" s="5" t="s">
        <v>27</v>
      </c>
      <c r="B11" s="5" t="s">
        <v>28</v>
      </c>
      <c r="C11" s="6" t="n">
        <v>0.867</v>
      </c>
      <c r="D11" s="6" t="n">
        <v>0.839</v>
      </c>
      <c r="E11" s="7" t="n">
        <f aca="false">D11-C11</f>
        <v>-0.0279999999999999</v>
      </c>
      <c r="H11" s="5" t="s">
        <v>26</v>
      </c>
      <c r="I11" s="5" t="s">
        <v>29</v>
      </c>
      <c r="J11" s="5" t="s">
        <v>30</v>
      </c>
      <c r="K11" s="9" t="n">
        <v>0.99</v>
      </c>
    </row>
    <row r="12" customFormat="false" ht="15" hidden="false" customHeight="false" outlineLevel="0" collapsed="false">
      <c r="A12" s="5" t="s">
        <v>31</v>
      </c>
      <c r="B12" s="5" t="s">
        <v>28</v>
      </c>
      <c r="C12" s="6" t="n">
        <v>0.99</v>
      </c>
      <c r="D12" s="6" t="n">
        <v>0.996</v>
      </c>
      <c r="E12" s="7" t="n">
        <f aca="false">D12-C12</f>
        <v>0.00600000000000001</v>
      </c>
      <c r="H12" s="5" t="s">
        <v>26</v>
      </c>
      <c r="I12" s="5" t="s">
        <v>32</v>
      </c>
      <c r="J12" s="5" t="s">
        <v>30</v>
      </c>
      <c r="K12" s="9" t="n">
        <v>0.81</v>
      </c>
    </row>
    <row r="13" customFormat="false" ht="15" hidden="false" customHeight="false" outlineLevel="0" collapsed="false">
      <c r="A13" s="5" t="s">
        <v>33</v>
      </c>
      <c r="B13" s="5" t="s">
        <v>28</v>
      </c>
      <c r="C13" s="6" t="n">
        <v>0.411</v>
      </c>
      <c r="D13" s="6" t="n">
        <v>0.792</v>
      </c>
      <c r="E13" s="7" t="n">
        <f aca="false">D13-C13</f>
        <v>0.381</v>
      </c>
      <c r="H13" s="5" t="s">
        <v>26</v>
      </c>
      <c r="I13" s="5" t="s">
        <v>27</v>
      </c>
      <c r="J13" s="5" t="s">
        <v>30</v>
      </c>
      <c r="K13" s="9" t="n">
        <v>0.64</v>
      </c>
    </row>
    <row r="14" customFormat="false" ht="15" hidden="false" customHeight="false" outlineLevel="0" collapsed="false">
      <c r="A14" s="5" t="s">
        <v>34</v>
      </c>
      <c r="B14" s="5" t="s">
        <v>28</v>
      </c>
      <c r="C14" s="6" t="n">
        <v>0.989</v>
      </c>
      <c r="D14" s="6" t="n">
        <v>0.996</v>
      </c>
      <c r="E14" s="7" t="n">
        <f aca="false">D14-C14</f>
        <v>0.0069999999999999</v>
      </c>
      <c r="H14" s="5" t="s">
        <v>26</v>
      </c>
      <c r="I14" s="5" t="s">
        <v>33</v>
      </c>
      <c r="J14" s="5" t="s">
        <v>30</v>
      </c>
      <c r="K14" s="9" t="n">
        <v>0.92</v>
      </c>
    </row>
    <row r="15" customFormat="false" ht="15" hidden="false" customHeight="false" outlineLevel="0" collapsed="false">
      <c r="A15" s="5" t="s">
        <v>35</v>
      </c>
      <c r="B15" s="5" t="s">
        <v>28</v>
      </c>
      <c r="C15" s="6" t="n">
        <v>0.948</v>
      </c>
      <c r="D15" s="6" t="n">
        <v>0.89</v>
      </c>
      <c r="E15" s="7" t="n">
        <f aca="false">D15-C15</f>
        <v>-0.0579999999999999</v>
      </c>
      <c r="H15" s="5" t="s">
        <v>36</v>
      </c>
      <c r="I15" s="5" t="s">
        <v>37</v>
      </c>
      <c r="J15" s="5" t="s">
        <v>16</v>
      </c>
      <c r="K15" s="9" t="n">
        <v>0.79</v>
      </c>
    </row>
    <row r="16" customFormat="false" ht="15" hidden="false" customHeight="false" outlineLevel="0" collapsed="false">
      <c r="A16" s="5" t="s">
        <v>38</v>
      </c>
      <c r="B16" s="5" t="s">
        <v>28</v>
      </c>
      <c r="C16" s="6" t="n">
        <v>0.933</v>
      </c>
      <c r="D16" s="6" t="n">
        <v>0.947</v>
      </c>
      <c r="E16" s="7" t="n">
        <f aca="false">D16-C16</f>
        <v>0.0140000000000001</v>
      </c>
      <c r="H16" s="5" t="s">
        <v>36</v>
      </c>
      <c r="I16" s="5" t="s">
        <v>39</v>
      </c>
      <c r="J16" s="5" t="s">
        <v>19</v>
      </c>
      <c r="K16" s="9" t="n">
        <v>0.83</v>
      </c>
    </row>
    <row r="17" customFormat="false" ht="15" hidden="false" customHeight="false" outlineLevel="0" collapsed="false">
      <c r="A17" s="5" t="s">
        <v>40</v>
      </c>
      <c r="B17" s="5" t="s">
        <v>28</v>
      </c>
      <c r="C17" s="6" t="n">
        <v>0.392</v>
      </c>
      <c r="D17" s="6" t="n">
        <v>0.798</v>
      </c>
      <c r="E17" s="7" t="n">
        <f aca="false">D17-C17</f>
        <v>0.406</v>
      </c>
      <c r="H17" s="5" t="s">
        <v>41</v>
      </c>
      <c r="I17" s="5" t="s">
        <v>42</v>
      </c>
      <c r="J17" s="5" t="s">
        <v>16</v>
      </c>
      <c r="K17" s="9" t="n">
        <v>0.72</v>
      </c>
    </row>
    <row r="18" customFormat="false" ht="15" hidden="false" customHeight="false" outlineLevel="0" collapsed="false">
      <c r="A18" s="5" t="s">
        <v>43</v>
      </c>
      <c r="B18" s="5" t="s">
        <v>28</v>
      </c>
      <c r="C18" s="6" t="n">
        <v>0.964</v>
      </c>
      <c r="D18" s="6" t="n">
        <v>0.923</v>
      </c>
      <c r="E18" s="7" t="n">
        <f aca="false">D18-C18</f>
        <v>-0.0410000000000002</v>
      </c>
      <c r="H18" s="5" t="s">
        <v>41</v>
      </c>
      <c r="I18" s="5" t="s">
        <v>44</v>
      </c>
      <c r="J18" s="5" t="s">
        <v>16</v>
      </c>
      <c r="K18" s="9" t="n">
        <v>0.95</v>
      </c>
    </row>
    <row r="19" customFormat="false" ht="15" hidden="false" customHeight="false" outlineLevel="0" collapsed="false">
      <c r="A19" s="5" t="s">
        <v>45</v>
      </c>
      <c r="B19" s="5" t="s">
        <v>28</v>
      </c>
      <c r="C19" s="6" t="n">
        <v>0.477</v>
      </c>
      <c r="D19" s="6" t="n">
        <v>0.845</v>
      </c>
      <c r="E19" s="7" t="n">
        <f aca="false">D19-C19</f>
        <v>0.368</v>
      </c>
      <c r="H19" s="5" t="s">
        <v>46</v>
      </c>
      <c r="I19" s="5" t="s">
        <v>47</v>
      </c>
      <c r="J19" s="5" t="s">
        <v>30</v>
      </c>
      <c r="K19" s="9" t="n">
        <v>0.98</v>
      </c>
    </row>
    <row r="20" customFormat="false" ht="15" hidden="false" customHeight="false" outlineLevel="0" collapsed="false">
      <c r="A20" s="5" t="s">
        <v>48</v>
      </c>
      <c r="B20" s="5" t="s">
        <v>28</v>
      </c>
      <c r="C20" s="6" t="n">
        <v>0</v>
      </c>
      <c r="D20" s="6" t="n">
        <v>1</v>
      </c>
      <c r="E20" s="7" t="n">
        <f aca="false">D20-C20</f>
        <v>1</v>
      </c>
      <c r="H20" s="5" t="s">
        <v>14</v>
      </c>
      <c r="I20" s="5" t="s">
        <v>49</v>
      </c>
      <c r="J20" s="5" t="s">
        <v>30</v>
      </c>
      <c r="K20" s="9" t="n">
        <v>0.9</v>
      </c>
    </row>
    <row r="21" customFormat="false" ht="15" hidden="false" customHeight="false" outlineLevel="0" collapsed="false">
      <c r="A21" s="5" t="s">
        <v>50</v>
      </c>
      <c r="B21" s="5" t="s">
        <v>28</v>
      </c>
      <c r="C21" s="6" t="n">
        <v>0.424</v>
      </c>
      <c r="D21" s="6" t="n">
        <v>1</v>
      </c>
      <c r="E21" s="7" t="n">
        <f aca="false">D21-C21</f>
        <v>0.576</v>
      </c>
      <c r="H21" s="5" t="s">
        <v>14</v>
      </c>
      <c r="I21" s="5" t="s">
        <v>51</v>
      </c>
      <c r="J21" s="5" t="s">
        <v>30</v>
      </c>
      <c r="K21" s="9" t="n">
        <v>0.61</v>
      </c>
    </row>
    <row r="22" customFormat="false" ht="15" hidden="false" customHeight="false" outlineLevel="0" collapsed="false">
      <c r="A22" s="5" t="s">
        <v>52</v>
      </c>
      <c r="B22" s="5" t="s">
        <v>28</v>
      </c>
      <c r="C22" s="6" t="n">
        <v>1</v>
      </c>
      <c r="D22" s="6" t="n">
        <v>1</v>
      </c>
      <c r="E22" s="7" t="n">
        <f aca="false">D22-C22</f>
        <v>0</v>
      </c>
      <c r="H22" s="5" t="s">
        <v>14</v>
      </c>
      <c r="I22" s="5" t="s">
        <v>40</v>
      </c>
      <c r="J22" s="5" t="s">
        <v>30</v>
      </c>
      <c r="K22" s="9" t="n">
        <v>0.69</v>
      </c>
    </row>
    <row r="23" customFormat="false" ht="15" hidden="false" customHeight="false" outlineLevel="0" collapsed="false">
      <c r="A23" s="5" t="s">
        <v>53</v>
      </c>
      <c r="B23" s="5" t="s">
        <v>28</v>
      </c>
      <c r="C23" s="6" t="n">
        <v>0.983</v>
      </c>
      <c r="D23" s="6" t="n">
        <v>0.983</v>
      </c>
      <c r="E23" s="7" t="n">
        <f aca="false">D23-C23</f>
        <v>0</v>
      </c>
      <c r="H23" s="5" t="s">
        <v>54</v>
      </c>
      <c r="I23" s="5" t="s">
        <v>55</v>
      </c>
      <c r="J23" s="5" t="s">
        <v>19</v>
      </c>
      <c r="K23" s="9" t="n">
        <v>0.93</v>
      </c>
    </row>
    <row r="24" customFormat="false" ht="15" hidden="false" customHeight="false" outlineLevel="0" collapsed="false">
      <c r="A24" s="5" t="s">
        <v>49</v>
      </c>
      <c r="B24" s="5" t="s">
        <v>28</v>
      </c>
      <c r="C24" s="6" t="n">
        <v>0.926</v>
      </c>
      <c r="D24" s="6" t="n">
        <v>0.956</v>
      </c>
      <c r="E24" s="7" t="n">
        <f aca="false">D24-C24</f>
        <v>0.03</v>
      </c>
    </row>
    <row r="25" customFormat="false" ht="15" hidden="false" customHeight="false" outlineLevel="0" collapsed="false">
      <c r="A25" s="5" t="s">
        <v>29</v>
      </c>
      <c r="B25" s="5" t="s">
        <v>56</v>
      </c>
      <c r="C25" s="6" t="n">
        <v>0.999</v>
      </c>
      <c r="D25" s="6" t="n">
        <v>1</v>
      </c>
      <c r="E25" s="7" t="n">
        <f aca="false">D25-C25</f>
        <v>0.00099999999999989</v>
      </c>
      <c r="H25" s="2" t="s">
        <v>57</v>
      </c>
    </row>
    <row r="26" customFormat="false" ht="15" hidden="false" customHeight="false" outlineLevel="0" collapsed="false">
      <c r="A26" s="5" t="s">
        <v>58</v>
      </c>
      <c r="B26" s="5" t="s">
        <v>56</v>
      </c>
      <c r="C26" s="6" t="n">
        <v>0.951</v>
      </c>
      <c r="D26" s="6" t="n">
        <v>0.952</v>
      </c>
      <c r="E26" s="7" t="n">
        <f aca="false">D26-C26</f>
        <v>0.00100000000000011</v>
      </c>
    </row>
    <row r="27" customFormat="false" ht="15" hidden="false" customHeight="false" outlineLevel="0" collapsed="false">
      <c r="A27" s="5" t="s">
        <v>51</v>
      </c>
      <c r="B27" s="5" t="s">
        <v>28</v>
      </c>
      <c r="C27" s="6" t="n">
        <v>0.88</v>
      </c>
      <c r="D27" s="6" t="n">
        <v>0.892</v>
      </c>
      <c r="E27" s="7" t="n">
        <f aca="false">D27-C27</f>
        <v>0.012</v>
      </c>
    </row>
    <row r="28" customFormat="false" ht="15" hidden="false" customHeight="false" outlineLevel="0" collapsed="false">
      <c r="A28" s="5" t="s">
        <v>32</v>
      </c>
      <c r="B28" s="5" t="s">
        <v>28</v>
      </c>
      <c r="C28" s="6" t="n">
        <v>0.798</v>
      </c>
      <c r="D28" s="6" t="n">
        <v>0.864</v>
      </c>
      <c r="E28" s="7" t="n">
        <f aca="false">D28-C28</f>
        <v>0.0660000000000002</v>
      </c>
    </row>
    <row r="29" customFormat="false" ht="15" hidden="false" customHeight="false" outlineLevel="0" collapsed="false">
      <c r="A29" s="5" t="s">
        <v>59</v>
      </c>
      <c r="B29" s="5" t="s">
        <v>28</v>
      </c>
      <c r="C29" s="6" t="n">
        <v>0</v>
      </c>
      <c r="D29" s="6" t="n">
        <v>0.995</v>
      </c>
      <c r="E29" s="7" t="n">
        <f aca="false">D29-C29</f>
        <v>0.995</v>
      </c>
    </row>
    <row r="30" customFormat="false" ht="15" hidden="false" customHeight="false" outlineLevel="0" collapsed="false">
      <c r="A30" s="5" t="s">
        <v>47</v>
      </c>
      <c r="B30" s="5" t="s">
        <v>56</v>
      </c>
      <c r="C30" s="6" t="n">
        <v>0.791</v>
      </c>
      <c r="D30" s="6" t="n">
        <v>0.867</v>
      </c>
      <c r="E30" s="7" t="n">
        <f aca="false">D30-C30</f>
        <v>0.0760000000000001</v>
      </c>
    </row>
    <row r="31" customFormat="false" ht="15" hidden="false" customHeight="false" outlineLevel="0" collapsed="false">
      <c r="A31" s="5" t="s">
        <v>60</v>
      </c>
      <c r="B31" s="5" t="s">
        <v>56</v>
      </c>
      <c r="C31" s="6" t="n">
        <v>0.852</v>
      </c>
      <c r="D31" s="6" t="n">
        <v>0.899</v>
      </c>
      <c r="E31" s="7" t="n">
        <f aca="false">D31-C31</f>
        <v>0.047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4" t="s">
        <v>62</v>
      </c>
    </row>
    <row r="4" customFormat="false" ht="15" hidden="false" customHeight="false" outlineLevel="0" collapsed="false">
      <c r="A4" s="10" t="s">
        <v>63</v>
      </c>
      <c r="B4" s="11" t="n">
        <f aca="false">COUNTA(Data!$A$5:$A$31)</f>
        <v>27</v>
      </c>
    </row>
    <row r="5" customFormat="false" ht="15" hidden="false" customHeight="false" outlineLevel="0" collapsed="false">
      <c r="A5" s="10" t="s">
        <v>64</v>
      </c>
      <c r="B5" s="12" t="n">
        <f aca="false">AVERAGE(Data!$C$5:$C$31)</f>
        <v>0.788037037037037</v>
      </c>
    </row>
    <row r="6" customFormat="false" ht="15" hidden="false" customHeight="false" outlineLevel="0" collapsed="false">
      <c r="A6" s="10" t="s">
        <v>65</v>
      </c>
      <c r="B6" s="12" t="n">
        <f aca="false">AVERAGE(Data!$D$5:$D$31)</f>
        <v>0.929222222222222</v>
      </c>
    </row>
    <row r="7" customFormat="false" ht="15" hidden="false" customHeight="false" outlineLevel="0" collapsed="false">
      <c r="A7" s="10" t="s">
        <v>66</v>
      </c>
      <c r="B7" s="13" t="n">
        <f aca="false">B6-B5</f>
        <v>0.141185185185185</v>
      </c>
    </row>
    <row r="8" customFormat="false" ht="15" hidden="false" customHeight="false" outlineLevel="0" collapsed="false">
      <c r="A8" s="10" t="s">
        <v>67</v>
      </c>
      <c r="B8" s="11" t="n">
        <f aca="false">COUNTIF(Data!$E$5:$E$31,"&gt;0.005")</f>
        <v>15</v>
      </c>
    </row>
    <row r="9" customFormat="false" ht="15" hidden="false" customHeight="false" outlineLevel="0" collapsed="false">
      <c r="A9" s="10" t="s">
        <v>68</v>
      </c>
      <c r="B9" s="11" t="n">
        <f aca="false">COUNTIF(Data!$E$5:$E$31,"&lt;-0.005")</f>
        <v>4</v>
      </c>
    </row>
    <row r="10" customFormat="false" ht="15" hidden="false" customHeight="false" outlineLevel="0" collapsed="false">
      <c r="A10" s="10" t="s">
        <v>69</v>
      </c>
      <c r="B10" s="11" t="n">
        <f aca="false">COUNTIF(Data!$C$5:$C$31,"&gt;=0.95")</f>
        <v>11</v>
      </c>
    </row>
    <row r="11" customFormat="false" ht="15" hidden="false" customHeight="false" outlineLevel="0" collapsed="false">
      <c r="A11" s="10" t="s">
        <v>70</v>
      </c>
      <c r="B11" s="11" t="n">
        <f aca="false">COUNTIF(Data!$D$5:$D$31,"&gt;=0.95")</f>
        <v>14</v>
      </c>
    </row>
    <row r="12" customFormat="false" ht="15" hidden="false" customHeight="false" outlineLevel="0" collapsed="false">
      <c r="A12" s="10" t="s">
        <v>71</v>
      </c>
      <c r="B12" s="14" t="n">
        <f aca="false">MAX(Data!$E$5:$E$31)</f>
        <v>1</v>
      </c>
    </row>
    <row r="13" customFormat="false" ht="15" hidden="false" customHeight="false" outlineLevel="0" collapsed="false">
      <c r="A13" s="10" t="s">
        <v>72</v>
      </c>
      <c r="B13" s="15" t="str">
        <f aca="false">INDEX(Data!$A$5:$A$31,MATCH(B12,Data!$E$5:$E$31,0))</f>
        <v>K</v>
      </c>
    </row>
    <row r="14" customFormat="false" ht="15" hidden="false" customHeight="false" outlineLevel="0" collapsed="false">
      <c r="A14" s="10" t="s">
        <v>73</v>
      </c>
      <c r="B14" s="15" t="str">
        <f aca="false">INDEX(Data!$A$5:$A$31,MATCH(MIN(Data!$D$5:$D$31),Data!$D$5:$D$31,0))</f>
        <v>B</v>
      </c>
    </row>
    <row r="15" customFormat="false" ht="15" hidden="false" customHeight="false" outlineLevel="0" collapsed="false">
      <c r="A15" s="10" t="s">
        <v>74</v>
      </c>
      <c r="B15" s="12" t="n">
        <f aca="false">MIN(Data!$D$5:$D$31)</f>
        <v>0.792</v>
      </c>
    </row>
    <row r="17" customFormat="false" ht="15" hidden="false" customHeight="false" outlineLevel="0" collapsed="false">
      <c r="A17" s="4" t="s">
        <v>75</v>
      </c>
    </row>
    <row r="18" customFormat="false" ht="15" hidden="false" customHeight="false" outlineLevel="0" collapsed="false">
      <c r="A18" s="10" t="s">
        <v>4</v>
      </c>
      <c r="B18" s="16" t="n">
        <v>0.788</v>
      </c>
    </row>
    <row r="19" customFormat="false" ht="15" hidden="false" customHeight="false" outlineLevel="0" collapsed="false">
      <c r="A19" s="10" t="s">
        <v>5</v>
      </c>
      <c r="B19" s="16" t="n">
        <v>0.929</v>
      </c>
    </row>
    <row r="20" customFormat="false" ht="15" hidden="false" customHeight="false" outlineLevel="0" collapsed="false">
      <c r="A20" s="10" t="s">
        <v>76</v>
      </c>
      <c r="B20" s="16" t="n">
        <v>0.994</v>
      </c>
    </row>
    <row r="21" customFormat="false" ht="15" hidden="false" customHeight="false" outlineLevel="0" collapsed="false">
      <c r="A21" s="2" t="s">
        <v>77</v>
      </c>
    </row>
    <row r="23" customFormat="false" ht="15" hidden="false" customHeight="false" outlineLevel="0" collapsed="false">
      <c r="A23" s="4" t="s">
        <v>78</v>
      </c>
      <c r="B23" s="4" t="s">
        <v>79</v>
      </c>
      <c r="C23" s="4" t="s">
        <v>80</v>
      </c>
    </row>
    <row r="24" customFormat="false" ht="15" hidden="false" customHeight="false" outlineLevel="0" collapsed="false">
      <c r="A24" s="10" t="s">
        <v>30</v>
      </c>
      <c r="B24" s="17" t="n">
        <f aca="false">IFERROR(AVERAGEIF(Data!$J$6:$J$23,A24,Data!$K$6:$K$23),"-")</f>
        <v>0.8175</v>
      </c>
      <c r="C24" s="18" t="n">
        <f aca="false">COUNTIF(Data!$J$6:$J$23,A24)</f>
        <v>8</v>
      </c>
    </row>
    <row r="25" customFormat="false" ht="15" hidden="false" customHeight="false" outlineLevel="0" collapsed="false">
      <c r="A25" s="10" t="s">
        <v>16</v>
      </c>
      <c r="B25" s="17" t="n">
        <f aca="false">IFERROR(AVERAGEIF(Data!$J$6:$J$23,A25,Data!$K$6:$K$23),"-")</f>
        <v>0.877142857142857</v>
      </c>
      <c r="C25" s="18" t="n">
        <f aca="false">COUNTIF(Data!$J$6:$J$23,A25)</f>
        <v>7</v>
      </c>
    </row>
    <row r="26" customFormat="false" ht="15" hidden="false" customHeight="false" outlineLevel="0" collapsed="false">
      <c r="A26" s="10" t="s">
        <v>19</v>
      </c>
      <c r="B26" s="17" t="n">
        <f aca="false">IFERROR(AVERAGEIF(Data!$J$6:$J$23,A26,Data!$K$6:$K$23),"-")</f>
        <v>0.88</v>
      </c>
      <c r="C26" s="18" t="n">
        <f aca="false">COUNTIF(Data!$J$6:$J$23,A26)</f>
        <v>3</v>
      </c>
    </row>
    <row r="28" customFormat="false" ht="15" hidden="false" customHeight="false" outlineLevel="0" collapsed="false">
      <c r="A28" s="4" t="s">
        <v>81</v>
      </c>
    </row>
    <row r="29" customFormat="false" ht="15" hidden="false" customHeight="false" outlineLevel="0" collapsed="false">
      <c r="A29" s="10" t="s">
        <v>82</v>
      </c>
    </row>
    <row r="30" customFormat="false" ht="15" hidden="false" customHeight="false" outlineLevel="0" collapsed="false">
      <c r="A30" s="10" t="s">
        <v>83</v>
      </c>
    </row>
    <row r="31" customFormat="false" ht="15" hidden="false" customHeight="false" outlineLevel="0" collapsed="false">
      <c r="A31" s="10" t="s">
        <v>84</v>
      </c>
    </row>
    <row r="32" customFormat="false" ht="15" hidden="false" customHeight="false" outlineLevel="0" collapsed="false">
      <c r="A32" s="1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2026-10-28T14:29:10Z</dcterms:created>
  <dc:creator>openpyxl</dc:creator>
  <dc:description/>
  <dc:language>en-US</dc:language>
  <cp:lastModifiedBy/>
  <dcterms:modified xsi:type="dcterms:W3CDTF">2026-10-28T19:29:13Z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